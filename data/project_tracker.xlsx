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81241728\Documents\PythonProjects\automation-project-tracker\data\"/>
    </mc:Choice>
  </mc:AlternateContent>
  <xr:revisionPtr revIDLastSave="0" documentId="13_ncr:1_{623BCC41-F773-40F9-8316-46C5126A2B2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I15" i="1"/>
  <c r="M15" i="1"/>
  <c r="L15" i="1"/>
  <c r="L14" i="1"/>
  <c r="M14" i="1"/>
  <c r="M13" i="1"/>
  <c r="M2" i="1"/>
  <c r="L3" i="1"/>
  <c r="L13" i="1"/>
  <c r="M3" i="1"/>
  <c r="M4" i="1"/>
  <c r="M5" i="1"/>
  <c r="M6" i="1"/>
  <c r="M7" i="1"/>
  <c r="M8" i="1"/>
  <c r="M9" i="1"/>
  <c r="M10" i="1"/>
  <c r="M11" i="1"/>
  <c r="M12" i="1"/>
  <c r="L4" i="1"/>
  <c r="L2" i="1"/>
  <c r="L5" i="1"/>
  <c r="L6" i="1"/>
  <c r="L7" i="1"/>
  <c r="L8" i="1"/>
  <c r="L9" i="1"/>
  <c r="L10" i="1"/>
  <c r="L11" i="1"/>
  <c r="L12" i="1"/>
  <c r="L16" i="1" l="1"/>
  <c r="N16" i="1" s="1"/>
  <c r="O16" i="1" s="1"/>
  <c r="N15" i="1"/>
  <c r="O15" i="1" s="1"/>
  <c r="N4" i="1"/>
  <c r="O4" i="1" s="1"/>
  <c r="N5" i="1"/>
  <c r="O5" i="1" s="1"/>
  <c r="N3" i="1"/>
  <c r="O3" i="1" s="1"/>
  <c r="N12" i="1"/>
  <c r="O12" i="1" s="1"/>
  <c r="N6" i="1"/>
  <c r="O6" i="1" s="1"/>
  <c r="N11" i="1"/>
  <c r="O11" i="1" s="1"/>
  <c r="N10" i="1"/>
  <c r="O10" i="1" s="1"/>
  <c r="N9" i="1"/>
  <c r="O9" i="1" s="1"/>
  <c r="N8" i="1"/>
  <c r="O8" i="1" s="1"/>
  <c r="N7" i="1"/>
  <c r="O7" i="1" s="1"/>
  <c r="N2" i="1"/>
  <c r="O2" i="1" s="1"/>
  <c r="N14" i="1"/>
  <c r="O14" i="1" s="1"/>
  <c r="N13" i="1"/>
  <c r="O13" i="1" s="1"/>
</calcChain>
</file>

<file path=xl/sharedStrings.xml><?xml version="1.0" encoding="utf-8"?>
<sst xmlns="http://schemas.openxmlformats.org/spreadsheetml/2006/main" count="105" uniqueCount="50">
  <si>
    <t>No</t>
  </si>
  <si>
    <t>Process Name</t>
  </si>
  <si>
    <t>Criticality</t>
  </si>
  <si>
    <t>Manual Execution time (min)</t>
  </si>
  <si>
    <t>Frequency (per year)</t>
  </si>
  <si>
    <t>High</t>
  </si>
  <si>
    <t>Automation Execution time (min)</t>
  </si>
  <si>
    <t>%Reduction</t>
  </si>
  <si>
    <t>h/year saved</t>
  </si>
  <si>
    <t>Massive Reestructures</t>
  </si>
  <si>
    <t>myIDM Approvals</t>
  </si>
  <si>
    <t>Dashboard segmentation</t>
  </si>
  <si>
    <t>Low</t>
  </si>
  <si>
    <t>La favorita</t>
  </si>
  <si>
    <t>3PD Report</t>
  </si>
  <si>
    <t>Role</t>
  </si>
  <si>
    <t>Developped</t>
  </si>
  <si>
    <t>Farol</t>
  </si>
  <si>
    <t>Report Prezzi</t>
  </si>
  <si>
    <t>Pepsico Champions League</t>
  </si>
  <si>
    <t>Medium</t>
  </si>
  <si>
    <t>Country</t>
  </si>
  <si>
    <t>Mexico</t>
  </si>
  <si>
    <t>Brazil</t>
  </si>
  <si>
    <t>Italy</t>
  </si>
  <si>
    <t>USA</t>
  </si>
  <si>
    <t>Spain</t>
  </si>
  <si>
    <t>Status</t>
  </si>
  <si>
    <t>Active</t>
  </si>
  <si>
    <t>Obsolete</t>
  </si>
  <si>
    <t xml:space="preserve">PPT Deck </t>
  </si>
  <si>
    <t>Coached</t>
  </si>
  <si>
    <t>Minor Fix</t>
  </si>
  <si>
    <t>OT Clients - Spain</t>
  </si>
  <si>
    <t>Route - Promoter</t>
  </si>
  <si>
    <t>On hold</t>
  </si>
  <si>
    <t>h/year (before automation)</t>
  </si>
  <si>
    <t>h/year (after automation)</t>
  </si>
  <si>
    <t>On going</t>
  </si>
  <si>
    <t>Caribean</t>
  </si>
  <si>
    <t>Colombia</t>
  </si>
  <si>
    <t>Ecuador</t>
  </si>
  <si>
    <t>Claims ROC Intake form</t>
  </si>
  <si>
    <t>Listing Maintenance</t>
  </si>
  <si>
    <t>Development time (hrs)</t>
  </si>
  <si>
    <t>Capability Center</t>
  </si>
  <si>
    <t>MCC</t>
  </si>
  <si>
    <t>KCC</t>
  </si>
  <si>
    <t>PepsiCo Browser SDK</t>
  </si>
  <si>
    <t>Perfect Store EDF uploads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</si>
</sst>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E7" sqref="E7"/>
    </sheetView>
  </sheetViews>
  <sheetFormatPr defaultRowHeight="14.4" x14ac:dyDescent="0.55000000000000004"/>
  <cols>
    <col min="1" max="1" width="6.5234375" customWidth="1"/>
    <col min="2" max="2" width="34.15625" customWidth="1"/>
    <col min="3" max="3" width="14.734375" bestFit="1" customWidth="1"/>
    <col min="4" max="4" width="9.7890625" customWidth="1"/>
    <col min="5" max="5" width="13.83984375" customWidth="1"/>
    <col min="7" max="8" width="11.62890625" customWidth="1"/>
    <col min="9" max="9" width="17.68359375" bestFit="1" customWidth="1"/>
    <col min="10" max="10" width="24.3125" bestFit="1" customWidth="1"/>
    <col min="11" max="11" width="27.9453125" bestFit="1" customWidth="1"/>
    <col min="12" max="12" width="27.26171875" customWidth="1"/>
    <col min="13" max="13" width="27" customWidth="1"/>
    <col min="14" max="14" width="15.05078125" customWidth="1"/>
    <col min="15" max="15" width="10.3671875" bestFit="1" customWidth="1"/>
  </cols>
  <sheetData>
    <row r="1" spans="1:15" s="1" customFormat="1" x14ac:dyDescent="0.55000000000000004">
      <c r="A1" s="1" t="s">
        <v>0</v>
      </c>
      <c r="B1" s="1" t="s">
        <v>1</v>
      </c>
      <c r="C1" s="1" t="s">
        <v>45</v>
      </c>
      <c r="D1" s="1" t="s">
        <v>21</v>
      </c>
      <c r="E1" s="1" t="s">
        <v>27</v>
      </c>
      <c r="F1" s="1" t="s">
        <v>2</v>
      </c>
      <c r="G1" s="1" t="s">
        <v>15</v>
      </c>
      <c r="H1" s="1" t="s">
        <v>44</v>
      </c>
      <c r="I1" s="1" t="s">
        <v>4</v>
      </c>
      <c r="J1" s="1" t="s">
        <v>3</v>
      </c>
      <c r="K1" s="1" t="s">
        <v>6</v>
      </c>
      <c r="L1" s="1" t="s">
        <v>36</v>
      </c>
      <c r="M1" s="1" t="s">
        <v>37</v>
      </c>
      <c r="N1" s="1" t="s">
        <v>8</v>
      </c>
      <c r="O1" s="1" t="s">
        <v>7</v>
      </c>
    </row>
    <row r="2" spans="1:15" x14ac:dyDescent="0.55000000000000004">
      <c r="A2">
        <v>1</v>
      </c>
      <c r="B2" t="s">
        <v>34</v>
      </c>
      <c r="C2" t="s">
        <v>46</v>
      </c>
      <c r="D2" t="s">
        <v>22</v>
      </c>
      <c r="E2" t="s">
        <v>28</v>
      </c>
      <c r="F2" t="s">
        <v>5</v>
      </c>
      <c r="G2" t="s">
        <v>16</v>
      </c>
      <c r="H2">
        <v>90</v>
      </c>
      <c r="I2">
        <v>260</v>
      </c>
      <c r="J2">
        <v>60</v>
      </c>
      <c r="K2">
        <v>5</v>
      </c>
      <c r="L2" s="2">
        <f>(I2*J2)/60</f>
        <v>260</v>
      </c>
      <c r="M2" s="2">
        <f>(I2*K2)/60</f>
        <v>21.666666666666668</v>
      </c>
      <c r="N2" s="2">
        <f>L2-M2</f>
        <v>238.33333333333334</v>
      </c>
      <c r="O2" s="3">
        <f>N2/L2</f>
        <v>0.91666666666666674</v>
      </c>
    </row>
    <row r="3" spans="1:15" x14ac:dyDescent="0.55000000000000004">
      <c r="A3">
        <v>2</v>
      </c>
      <c r="B3" t="s">
        <v>9</v>
      </c>
      <c r="C3" t="s">
        <v>46</v>
      </c>
      <c r="D3" t="s">
        <v>22</v>
      </c>
      <c r="E3" t="s">
        <v>28</v>
      </c>
      <c r="F3" t="s">
        <v>5</v>
      </c>
      <c r="G3" t="s">
        <v>16</v>
      </c>
      <c r="H3">
        <v>70</v>
      </c>
      <c r="I3">
        <v>12</v>
      </c>
      <c r="J3">
        <v>120</v>
      </c>
      <c r="K3">
        <v>5</v>
      </c>
      <c r="L3" s="2">
        <f>(I3*J3)/60</f>
        <v>24</v>
      </c>
      <c r="M3" s="2">
        <f t="shared" ref="M3:M12" si="0">(I3*K3)/60</f>
        <v>1</v>
      </c>
      <c r="N3" s="2">
        <f t="shared" ref="N3:N13" si="1">L3-M3</f>
        <v>23</v>
      </c>
      <c r="O3" s="3">
        <f t="shared" ref="O3:O13" si="2">N3/L3</f>
        <v>0.95833333333333337</v>
      </c>
    </row>
    <row r="4" spans="1:15" x14ac:dyDescent="0.55000000000000004">
      <c r="A4">
        <v>3</v>
      </c>
      <c r="B4" t="s">
        <v>10</v>
      </c>
      <c r="C4" t="s">
        <v>46</v>
      </c>
      <c r="D4" t="s">
        <v>22</v>
      </c>
      <c r="E4" t="s">
        <v>28</v>
      </c>
      <c r="F4" t="s">
        <v>5</v>
      </c>
      <c r="G4" t="s">
        <v>16</v>
      </c>
      <c r="H4">
        <v>60</v>
      </c>
      <c r="I4">
        <v>260</v>
      </c>
      <c r="J4">
        <v>60</v>
      </c>
      <c r="K4">
        <v>0</v>
      </c>
      <c r="L4" s="2">
        <f>(I4*J4)/60</f>
        <v>260</v>
      </c>
      <c r="M4" s="2">
        <f t="shared" si="0"/>
        <v>0</v>
      </c>
      <c r="N4" s="2">
        <f t="shared" si="1"/>
        <v>260</v>
      </c>
      <c r="O4" s="3">
        <f t="shared" si="2"/>
        <v>1</v>
      </c>
    </row>
    <row r="5" spans="1:15" x14ac:dyDescent="0.55000000000000004">
      <c r="A5">
        <v>4</v>
      </c>
      <c r="B5" t="s">
        <v>11</v>
      </c>
      <c r="C5" t="s">
        <v>46</v>
      </c>
      <c r="D5" t="s">
        <v>22</v>
      </c>
      <c r="E5" t="s">
        <v>28</v>
      </c>
      <c r="F5" t="s">
        <v>12</v>
      </c>
      <c r="G5" t="s">
        <v>16</v>
      </c>
      <c r="H5">
        <v>24</v>
      </c>
      <c r="I5">
        <v>52</v>
      </c>
      <c r="J5">
        <v>75</v>
      </c>
      <c r="K5">
        <v>15</v>
      </c>
      <c r="L5" s="2">
        <f t="shared" ref="L5:L12" si="3">(I5*J5)/60</f>
        <v>65</v>
      </c>
      <c r="M5" s="2">
        <f t="shared" si="0"/>
        <v>13</v>
      </c>
      <c r="N5" s="2">
        <f t="shared" si="1"/>
        <v>52</v>
      </c>
      <c r="O5" s="3">
        <f t="shared" si="2"/>
        <v>0.8</v>
      </c>
    </row>
    <row r="6" spans="1:15" x14ac:dyDescent="0.55000000000000004">
      <c r="A6">
        <v>5</v>
      </c>
      <c r="B6" t="s">
        <v>13</v>
      </c>
      <c r="C6" t="s">
        <v>46</v>
      </c>
      <c r="D6" t="s">
        <v>41</v>
      </c>
      <c r="E6" t="s">
        <v>28</v>
      </c>
      <c r="F6" t="s">
        <v>12</v>
      </c>
      <c r="G6" t="s">
        <v>16</v>
      </c>
      <c r="H6">
        <v>20</v>
      </c>
      <c r="I6">
        <v>12</v>
      </c>
      <c r="J6">
        <v>75</v>
      </c>
      <c r="K6">
        <v>10</v>
      </c>
      <c r="L6" s="2">
        <f t="shared" si="3"/>
        <v>15</v>
      </c>
      <c r="M6" s="2">
        <f t="shared" si="0"/>
        <v>2</v>
      </c>
      <c r="N6" s="2">
        <f t="shared" si="1"/>
        <v>13</v>
      </c>
      <c r="O6" s="3">
        <f t="shared" si="2"/>
        <v>0.8666666666666667</v>
      </c>
    </row>
    <row r="7" spans="1:15" x14ac:dyDescent="0.55000000000000004">
      <c r="A7">
        <v>6</v>
      </c>
      <c r="B7" t="s">
        <v>14</v>
      </c>
      <c r="C7" t="s">
        <v>46</v>
      </c>
      <c r="D7" t="s">
        <v>40</v>
      </c>
      <c r="E7" t="s">
        <v>29</v>
      </c>
      <c r="F7" t="s">
        <v>12</v>
      </c>
      <c r="G7" t="s">
        <v>16</v>
      </c>
      <c r="H7">
        <v>20</v>
      </c>
      <c r="I7">
        <v>12</v>
      </c>
      <c r="J7">
        <v>75</v>
      </c>
      <c r="K7">
        <v>10</v>
      </c>
      <c r="L7" s="2">
        <f t="shared" si="3"/>
        <v>15</v>
      </c>
      <c r="M7" s="2">
        <f t="shared" si="0"/>
        <v>2</v>
      </c>
      <c r="N7" s="2">
        <f t="shared" si="1"/>
        <v>13</v>
      </c>
      <c r="O7" s="3">
        <f t="shared" si="2"/>
        <v>0.8666666666666667</v>
      </c>
    </row>
    <row r="8" spans="1:15" x14ac:dyDescent="0.55000000000000004">
      <c r="A8">
        <v>7</v>
      </c>
      <c r="B8" t="s">
        <v>17</v>
      </c>
      <c r="C8" t="s">
        <v>46</v>
      </c>
      <c r="D8" t="s">
        <v>23</v>
      </c>
      <c r="E8" t="s">
        <v>35</v>
      </c>
      <c r="F8" t="s">
        <v>5</v>
      </c>
      <c r="G8" t="s">
        <v>16</v>
      </c>
      <c r="H8">
        <v>40</v>
      </c>
      <c r="I8">
        <v>52</v>
      </c>
      <c r="J8">
        <v>180</v>
      </c>
      <c r="K8">
        <v>5</v>
      </c>
      <c r="L8" s="2">
        <f t="shared" si="3"/>
        <v>156</v>
      </c>
      <c r="M8" s="2">
        <f t="shared" si="0"/>
        <v>4.333333333333333</v>
      </c>
      <c r="N8" s="2">
        <f t="shared" si="1"/>
        <v>151.66666666666666</v>
      </c>
      <c r="O8" s="3">
        <f t="shared" si="2"/>
        <v>0.97222222222222221</v>
      </c>
    </row>
    <row r="9" spans="1:15" x14ac:dyDescent="0.55000000000000004">
      <c r="A9">
        <v>8</v>
      </c>
      <c r="B9" t="s">
        <v>18</v>
      </c>
      <c r="C9" t="s">
        <v>47</v>
      </c>
      <c r="D9" t="s">
        <v>24</v>
      </c>
      <c r="E9" t="s">
        <v>28</v>
      </c>
      <c r="F9" t="s">
        <v>12</v>
      </c>
      <c r="G9" t="s">
        <v>16</v>
      </c>
      <c r="H9">
        <v>20</v>
      </c>
      <c r="I9">
        <v>12</v>
      </c>
      <c r="J9">
        <v>160</v>
      </c>
      <c r="K9">
        <v>1</v>
      </c>
      <c r="L9" s="2">
        <f t="shared" si="3"/>
        <v>32</v>
      </c>
      <c r="M9" s="2">
        <f t="shared" si="0"/>
        <v>0.2</v>
      </c>
      <c r="N9" s="2">
        <f t="shared" si="1"/>
        <v>31.8</v>
      </c>
      <c r="O9" s="3">
        <f t="shared" si="2"/>
        <v>0.99375000000000002</v>
      </c>
    </row>
    <row r="10" spans="1:15" x14ac:dyDescent="0.55000000000000004">
      <c r="A10">
        <v>9</v>
      </c>
      <c r="B10" t="s">
        <v>19</v>
      </c>
      <c r="C10" t="s">
        <v>46</v>
      </c>
      <c r="D10" t="s">
        <v>25</v>
      </c>
      <c r="E10" t="s">
        <v>35</v>
      </c>
      <c r="F10" t="s">
        <v>20</v>
      </c>
      <c r="G10" t="s">
        <v>16</v>
      </c>
      <c r="H10">
        <v>24</v>
      </c>
      <c r="I10">
        <v>52</v>
      </c>
      <c r="J10">
        <v>20</v>
      </c>
      <c r="K10">
        <v>1</v>
      </c>
      <c r="L10" s="2">
        <f t="shared" si="3"/>
        <v>17.333333333333332</v>
      </c>
      <c r="M10" s="2">
        <f t="shared" si="0"/>
        <v>0.8666666666666667</v>
      </c>
      <c r="N10" s="2">
        <f t="shared" si="1"/>
        <v>16.466666666666665</v>
      </c>
      <c r="O10" s="3">
        <f t="shared" si="2"/>
        <v>0.95</v>
      </c>
    </row>
    <row r="11" spans="1:15" x14ac:dyDescent="0.55000000000000004">
      <c r="A11">
        <v>10</v>
      </c>
      <c r="B11" t="s">
        <v>30</v>
      </c>
      <c r="C11" t="s">
        <v>46</v>
      </c>
      <c r="D11" t="s">
        <v>25</v>
      </c>
      <c r="E11" t="s">
        <v>28</v>
      </c>
      <c r="F11" t="s">
        <v>20</v>
      </c>
      <c r="G11" t="s">
        <v>31</v>
      </c>
      <c r="H11">
        <v>5</v>
      </c>
      <c r="I11">
        <v>6</v>
      </c>
      <c r="J11">
        <v>600</v>
      </c>
      <c r="K11">
        <v>1</v>
      </c>
      <c r="L11" s="2">
        <f t="shared" si="3"/>
        <v>60</v>
      </c>
      <c r="M11" s="2">
        <f t="shared" si="0"/>
        <v>0.1</v>
      </c>
      <c r="N11" s="2">
        <f t="shared" si="1"/>
        <v>59.9</v>
      </c>
      <c r="O11" s="3">
        <f t="shared" si="2"/>
        <v>0.99833333333333329</v>
      </c>
    </row>
    <row r="12" spans="1:15" x14ac:dyDescent="0.55000000000000004">
      <c r="A12">
        <v>11</v>
      </c>
      <c r="B12" t="s">
        <v>33</v>
      </c>
      <c r="C12" t="s">
        <v>47</v>
      </c>
      <c r="D12" t="s">
        <v>26</v>
      </c>
      <c r="E12" t="s">
        <v>28</v>
      </c>
      <c r="F12" t="s">
        <v>12</v>
      </c>
      <c r="G12" t="s">
        <v>32</v>
      </c>
      <c r="H12">
        <v>5</v>
      </c>
      <c r="I12">
        <v>12</v>
      </c>
      <c r="J12">
        <v>120</v>
      </c>
      <c r="K12">
        <v>1</v>
      </c>
      <c r="L12" s="2">
        <f t="shared" si="3"/>
        <v>24</v>
      </c>
      <c r="M12" s="2">
        <f t="shared" si="0"/>
        <v>0.2</v>
      </c>
      <c r="N12" s="2">
        <f t="shared" si="1"/>
        <v>23.8</v>
      </c>
      <c r="O12" s="3">
        <f t="shared" si="2"/>
        <v>0.9916666666666667</v>
      </c>
    </row>
    <row r="13" spans="1:15" x14ac:dyDescent="0.55000000000000004">
      <c r="A13">
        <v>12</v>
      </c>
      <c r="B13" t="s">
        <v>42</v>
      </c>
      <c r="C13" t="s">
        <v>46</v>
      </c>
      <c r="D13" t="s">
        <v>39</v>
      </c>
      <c r="E13" t="s">
        <v>38</v>
      </c>
      <c r="F13" t="s">
        <v>12</v>
      </c>
      <c r="G13" t="s">
        <v>16</v>
      </c>
      <c r="H13">
        <v>15</v>
      </c>
      <c r="I13">
        <v>350</v>
      </c>
      <c r="J13">
        <v>20</v>
      </c>
      <c r="K13">
        <v>2</v>
      </c>
      <c r="L13" s="2">
        <f>(I13*J13)/60</f>
        <v>116.66666666666667</v>
      </c>
      <c r="M13" s="2">
        <f>(I13*K13)/60</f>
        <v>11.666666666666666</v>
      </c>
      <c r="N13" s="2">
        <f t="shared" si="1"/>
        <v>105</v>
      </c>
      <c r="O13" s="3">
        <f t="shared" si="2"/>
        <v>0.89999999999999991</v>
      </c>
    </row>
    <row r="14" spans="1:15" x14ac:dyDescent="0.55000000000000004">
      <c r="A14">
        <v>13</v>
      </c>
      <c r="B14" t="s">
        <v>43</v>
      </c>
      <c r="C14" t="s">
        <v>46</v>
      </c>
      <c r="D14" t="s">
        <v>22</v>
      </c>
      <c r="E14" t="s">
        <v>28</v>
      </c>
      <c r="F14" t="s">
        <v>20</v>
      </c>
      <c r="G14" t="s">
        <v>16</v>
      </c>
      <c r="H14">
        <v>4</v>
      </c>
      <c r="I14">
        <v>52</v>
      </c>
      <c r="J14">
        <v>15</v>
      </c>
      <c r="K14">
        <v>0</v>
      </c>
      <c r="L14" s="2">
        <f>(I14*J14)/60</f>
        <v>13</v>
      </c>
      <c r="M14" s="2">
        <f>(I14*K14)/60</f>
        <v>0</v>
      </c>
      <c r="N14" s="2">
        <f t="shared" ref="N14:N15" si="4">L14-M14</f>
        <v>13</v>
      </c>
      <c r="O14" s="3">
        <f t="shared" ref="O14:O15" si="5">N14/L14</f>
        <v>1</v>
      </c>
    </row>
    <row r="15" spans="1:15" x14ac:dyDescent="0.55000000000000004">
      <c r="A15">
        <v>14</v>
      </c>
      <c r="B15" t="s">
        <v>48</v>
      </c>
      <c r="C15" t="s">
        <v>46</v>
      </c>
      <c r="D15" t="s">
        <v>22</v>
      </c>
      <c r="E15" t="s">
        <v>28</v>
      </c>
      <c r="F15" t="s">
        <v>5</v>
      </c>
      <c r="G15" t="s">
        <v>16</v>
      </c>
      <c r="H15">
        <v>45</v>
      </c>
      <c r="I15">
        <f>260*3</f>
        <v>780</v>
      </c>
      <c r="J15">
        <v>5</v>
      </c>
      <c r="K15">
        <v>0</v>
      </c>
      <c r="L15" s="2">
        <f>(I15*J15)/60</f>
        <v>65</v>
      </c>
      <c r="M15" s="2">
        <f>(I15*K15)/60</f>
        <v>0</v>
      </c>
      <c r="N15" s="2">
        <f t="shared" si="4"/>
        <v>65</v>
      </c>
      <c r="O15" s="3">
        <f t="shared" si="5"/>
        <v>1</v>
      </c>
    </row>
    <row r="16" spans="1:15" x14ac:dyDescent="0.55000000000000004">
      <c r="A16">
        <v>15</v>
      </c>
      <c r="B16" t="s">
        <v>49</v>
      </c>
      <c r="C16" t="s">
        <v>46</v>
      </c>
      <c r="D16" t="s">
        <v>22</v>
      </c>
      <c r="E16" t="s">
        <v>28</v>
      </c>
      <c r="F16" t="s">
        <v>12</v>
      </c>
      <c r="G16" t="s">
        <v>16</v>
      </c>
      <c r="H16">
        <v>40</v>
      </c>
      <c r="I16">
        <v>38</v>
      </c>
      <c r="J16">
        <v>26</v>
      </c>
      <c r="K16">
        <v>10</v>
      </c>
      <c r="L16" s="2">
        <f>(I16*J16)/60</f>
        <v>16.466666666666665</v>
      </c>
      <c r="M16" s="2">
        <f>(I16*K16)/60</f>
        <v>6.333333333333333</v>
      </c>
      <c r="N16" s="2">
        <f t="shared" ref="N16" si="6">L16-M16</f>
        <v>10.133333333333333</v>
      </c>
      <c r="O16" s="3">
        <f t="shared" ref="O16" si="7">N16/L16</f>
        <v>0.61538461538461542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cc3295-cd0e-449c-b98e-5ce5b560c1d3}" enabled="0" method="" siteId="{42cc3295-cd0e-449c-b98e-5ce5b560c1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JOSUE {PEP}</dc:creator>
  <cp:lastModifiedBy>HERNANDEZ, JOSUE {PEP}</cp:lastModifiedBy>
  <dcterms:created xsi:type="dcterms:W3CDTF">2015-06-05T18:17:20Z</dcterms:created>
  <dcterms:modified xsi:type="dcterms:W3CDTF">2026-08-24T20:47:57Z</dcterms:modified>
</cp:coreProperties>
</file>